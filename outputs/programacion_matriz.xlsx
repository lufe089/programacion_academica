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W:\git\Trabajos\programacion_academica\outputs\"/>
    </mc:Choice>
  </mc:AlternateContent>
  <xr:revisionPtr revIDLastSave="0" documentId="13_ncr:1_{8A220B64-08D3-4339-9EBE-2FDE4284AF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triz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16" i="1" l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E16" i="1"/>
  <c r="D16" i="1"/>
  <c r="C16" i="1"/>
  <c r="BI14" i="1"/>
  <c r="BJ14" i="1" s="1"/>
  <c r="BG14" i="1"/>
  <c r="BJ13" i="1"/>
  <c r="BI13" i="1"/>
  <c r="BG13" i="1"/>
  <c r="BI12" i="1"/>
  <c r="BJ12" i="1" s="1"/>
  <c r="BG12" i="1"/>
  <c r="BG11" i="1"/>
  <c r="BI11" i="1" s="1"/>
  <c r="BJ11" i="1" s="1"/>
  <c r="BJ10" i="1"/>
  <c r="BI10" i="1"/>
  <c r="BG10" i="1"/>
  <c r="BI9" i="1"/>
  <c r="BJ9" i="1" s="1"/>
  <c r="BG9" i="1"/>
  <c r="BG8" i="1"/>
  <c r="BI8" i="1" s="1"/>
  <c r="BJ8" i="1" s="1"/>
  <c r="BG7" i="1"/>
  <c r="BI7" i="1" s="1"/>
  <c r="BJ7" i="1" s="1"/>
  <c r="BG6" i="1"/>
  <c r="BI6" i="1" s="1"/>
  <c r="BJ6" i="1" s="1"/>
  <c r="BI5" i="1"/>
  <c r="BJ5" i="1" s="1"/>
  <c r="BG5" i="1"/>
</calcChain>
</file>

<file path=xl/sharedStrings.xml><?xml version="1.0" encoding="utf-8"?>
<sst xmlns="http://schemas.openxmlformats.org/spreadsheetml/2006/main" count="198" uniqueCount="102">
  <si>
    <t>Semana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</si>
  <si>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</si>
  <si>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</si>
  <si>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</si>
  <si>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</si>
  <si>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</si>
  <si>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</si>
  <si>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</si>
  <si>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</si>
  <si>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</si>
  <si>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</si>
  <si>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</si>
  <si>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</si>
  <si>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</si>
  <si>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</si>
  <si>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</si>
  <si>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</si>
  <si>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</si>
  <si>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</si>
  <si>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</si>
  <si>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Día</t>
  </si>
  <si>
    <t>Vie</t>
  </si>
  <si>
    <t>Sáb</t>
  </si>
  <si>
    <t>Mié</t>
  </si>
  <si>
    <t>Fecha</t>
  </si>
  <si>
    <t>31/07</t>
  </si>
  <si>
    <t>01/08</t>
  </si>
  <si>
    <t>05/08</t>
  </si>
  <si>
    <t>07/08</t>
  </si>
  <si>
    <t>08/08</t>
  </si>
  <si>
    <t>12/08</t>
  </si>
  <si>
    <t>14/08</t>
  </si>
  <si>
    <t>15/08</t>
  </si>
  <si>
    <t>19/08</t>
  </si>
  <si>
    <t>21/08</t>
  </si>
  <si>
    <t>22/08</t>
  </si>
  <si>
    <t>26/08</t>
  </si>
  <si>
    <t>28/08</t>
  </si>
  <si>
    <t>29/08</t>
  </si>
  <si>
    <t>02/09</t>
  </si>
  <si>
    <t>04/09</t>
  </si>
  <si>
    <t>05/09</t>
  </si>
  <si>
    <t>09/09</t>
  </si>
  <si>
    <t>11/09</t>
  </si>
  <si>
    <t>12/09</t>
  </si>
  <si>
    <t>16/09</t>
  </si>
  <si>
    <t>18/09</t>
  </si>
  <si>
    <t>19/09</t>
  </si>
  <si>
    <t>23/09</t>
  </si>
  <si>
    <t>25/09</t>
  </si>
  <si>
    <t>26/09</t>
  </si>
  <si>
    <t>30/09</t>
  </si>
  <si>
    <t>02/10</t>
  </si>
  <si>
    <t>03/10</t>
  </si>
  <si>
    <t>07/10</t>
  </si>
  <si>
    <t>09/10</t>
  </si>
  <si>
    <t>10/10</t>
  </si>
  <si>
    <t>14/10</t>
  </si>
  <si>
    <t>16/10</t>
  </si>
  <si>
    <t>17/10</t>
  </si>
  <si>
    <t>21/10</t>
  </si>
  <si>
    <t>23/10</t>
  </si>
  <si>
    <t>24/10</t>
  </si>
  <si>
    <t>28/10</t>
  </si>
  <si>
    <t>30/10</t>
  </si>
  <si>
    <t>31/10</t>
  </si>
  <si>
    <t>04/11</t>
  </si>
  <si>
    <t>06/11</t>
  </si>
  <si>
    <t>07/11</t>
  </si>
  <si>
    <t>11/11</t>
  </si>
  <si>
    <t>13/11</t>
  </si>
  <si>
    <t>14/11</t>
  </si>
  <si>
    <t>18/11</t>
  </si>
  <si>
    <t>20/11</t>
  </si>
  <si>
    <t>21/11</t>
  </si>
  <si>
    <t>25/11</t>
  </si>
  <si>
    <t>27/11</t>
  </si>
  <si>
    <t>28/11</t>
  </si>
  <si>
    <t>02/12</t>
  </si>
  <si>
    <t>04/12</t>
  </si>
  <si>
    <t>05/12</t>
  </si>
  <si>
    <t>Tipo</t>
  </si>
  <si>
    <t>Asignatura</t>
  </si>
  <si>
    <t>Asignadas</t>
  </si>
  <si>
    <t>Objetivo</t>
  </si>
  <si>
    <t>Diferencia</t>
  </si>
  <si>
    <t>Estado</t>
  </si>
  <si>
    <t>Obligatorio</t>
  </si>
  <si>
    <t>400CIG029 -3cred- Proyecto de grado I</t>
  </si>
  <si>
    <t>400FTA005 -3cred- Ética e Impactos de la Tecnol</t>
  </si>
  <si>
    <t>ProcesoDesarrollo</t>
  </si>
  <si>
    <t>400ITA007 - 4cred- Desarrollo de Software seguro</t>
  </si>
  <si>
    <t>400CIS002 - 4cred- Arquitectura de software</t>
  </si>
  <si>
    <t>400CIS021 - 4cred- Ingeniería de Requerimientos</t>
  </si>
  <si>
    <t>400CID002 - 4cred- Sistemas de Bases de Datos</t>
  </si>
  <si>
    <t>TemasAvanzados</t>
  </si>
  <si>
    <t>400ITA003 - 3cred - Arquitectura de Software en la nube</t>
  </si>
  <si>
    <t>400ITA005 - 3cred - El Negocio del sw</t>
  </si>
  <si>
    <t>400CIG037 -3cred -Tópicos Avanzados Ing de Software</t>
  </si>
  <si>
    <t>SoloMiercoles</t>
  </si>
  <si>
    <t>400CIG029 -4cred- Proyecto de grado 2</t>
  </si>
  <si>
    <t>Horas efectivas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</si>
</sst>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name val="Calibri"/>
    </font>
    <font>
      <b/>
      <sz val="9"/>
      <color rgb="FFFFFFFF"/>
      <name val="Calibri"/>
    </font>
    <font>
      <sz val="8"/>
      <name val="Calibri"/>
    </font>
    <font>
      <b/>
      <sz val="8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E8E8E8"/>
      </patternFill>
    </fill>
    <fill>
      <patternFill patternType="solid">
        <fgColor rgb="FFFFFFFF"/>
      </patternFill>
    </fill>
    <fill>
      <patternFill patternType="solid">
        <fgColor rgb="FFFFCCCB"/>
      </patternFill>
    </fill>
    <fill>
      <patternFill patternType="solid">
        <fgColor rgb="FF90EE90"/>
      </patternFill>
    </fill>
    <fill>
      <patternFill patternType="solid">
        <fgColor rgb="FF2F4F8F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0" fillId="3" borderId="1" xfId="0" applyFill="1" applyBorder="1"/>
    <xf numFmtId="0" fontId="0" fillId="2" borderId="1" xfId="0" applyFill="1" applyBorder="1"/>
    <xf numFmtId="0" fontId="0" fillId="4" borderId="1" xfId="0" applyFill="1" applyBorder="1"/>
    <xf numFmtId="0" fontId="0" fillId="5" borderId="1" xfId="0" applyFill="1" applyBorder="1"/>
    <xf numFmtId="0" fontId="4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6"/>
  <sheetViews>
    <sheetView tabSelected="1" workbookViewId="0">
      <pane xSplit="2" ySplit="4" topLeftCell="AK5" activePane="bottomRight" state="frozen"/>
      <selection pane="topRight"/>
      <selection pane="bottomLeft"/>
      <selection pane="bottomRight" activeCell="BE8" sqref="BE8:BF8"/>
    </sheetView>
  </sheetViews>
  <sheetFormatPr defaultRowHeight="15" x14ac:dyDescent="0.25"/>
  <cols>
    <col min="1" max="1" width="18" customWidth="1"/>
    <col min="2" max="2" width="40" customWidth="1"/>
    <col min="3" max="58" width="6" customWidth="1"/>
    <col min="59" max="62" width="10" customWidth="1"/>
  </cols>
  <sheetData>
    <row r="1" spans="1:62" x14ac:dyDescent="0.25">
      <c r="A1" s="1"/>
      <c r="B1" s="1" t="s">
        <v>0</v>
      </c>
      <c r="C1" s="2" t="s">
        <v>1</v>
      </c>
      <c r="D1" s="2" t="s">
        <v>1</v>
      </c>
      <c r="E1" s="1" t="s">
        <v>2</v>
      </c>
      <c r="F1" s="3" t="s">
        <v>2</v>
      </c>
      <c r="G1" s="1" t="s">
        <v>2</v>
      </c>
      <c r="H1" s="2" t="s">
        <v>3</v>
      </c>
      <c r="I1" s="2" t="s">
        <v>3</v>
      </c>
      <c r="J1" s="2" t="s">
        <v>3</v>
      </c>
      <c r="K1" s="1" t="s">
        <v>4</v>
      </c>
      <c r="L1" s="1" t="s">
        <v>4</v>
      </c>
      <c r="M1" s="1" t="s">
        <v>4</v>
      </c>
      <c r="N1" s="4" t="s">
        <v>5</v>
      </c>
      <c r="O1" s="4" t="s">
        <v>5</v>
      </c>
      <c r="P1" s="4" t="s">
        <v>5</v>
      </c>
      <c r="Q1" s="1" t="s">
        <v>6</v>
      </c>
      <c r="R1" s="1" t="s">
        <v>6</v>
      </c>
      <c r="S1" s="1" t="s">
        <v>6</v>
      </c>
      <c r="T1" s="2" t="s">
        <v>7</v>
      </c>
      <c r="U1" s="2" t="s">
        <v>7</v>
      </c>
      <c r="V1" s="2" t="s">
        <v>7</v>
      </c>
      <c r="W1" s="3" t="s">
        <v>8</v>
      </c>
      <c r="X1" s="3" t="s">
        <v>8</v>
      </c>
      <c r="Y1" s="3" t="s">
        <v>8</v>
      </c>
      <c r="Z1" s="2" t="s">
        <v>9</v>
      </c>
      <c r="AA1" s="2" t="s">
        <v>9</v>
      </c>
      <c r="AB1" s="2" t="s">
        <v>9</v>
      </c>
      <c r="AC1" s="1" t="s">
        <v>10</v>
      </c>
      <c r="AD1" s="1" t="s">
        <v>10</v>
      </c>
      <c r="AE1" s="1" t="s">
        <v>10</v>
      </c>
      <c r="AF1" s="2" t="s">
        <v>11</v>
      </c>
      <c r="AG1" s="2" t="s">
        <v>11</v>
      </c>
      <c r="AH1" s="2" t="s">
        <v>11</v>
      </c>
      <c r="AI1" s="4" t="s">
        <v>12</v>
      </c>
      <c r="AJ1" s="4" t="s">
        <v>12</v>
      </c>
      <c r="AK1" s="4" t="s">
        <v>12</v>
      </c>
      <c r="AL1" s="2" t="s">
        <v>13</v>
      </c>
      <c r="AM1" s="2" t="s">
        <v>13</v>
      </c>
      <c r="AN1" s="2" t="s">
        <v>13</v>
      </c>
      <c r="AO1" s="1" t="s">
        <v>14</v>
      </c>
      <c r="AP1" s="1" t="s">
        <v>14</v>
      </c>
      <c r="AQ1" s="1" t="s">
        <v>14</v>
      </c>
      <c r="AR1" s="2" t="s">
        <v>15</v>
      </c>
      <c r="AS1" s="2" t="s">
        <v>15</v>
      </c>
      <c r="AT1" s="2" t="s">
        <v>15</v>
      </c>
      <c r="AU1" s="1" t="s">
        <v>16</v>
      </c>
      <c r="AV1" s="1" t="s">
        <v>16</v>
      </c>
      <c r="AW1" s="1" t="s">
        <v>16</v>
      </c>
      <c r="AX1" s="2" t="s">
        <v>17</v>
      </c>
      <c r="AY1" s="2" t="s">
        <v>17</v>
      </c>
      <c r="AZ1" s="2" t="s">
        <v>17</v>
      </c>
      <c r="BA1" s="1" t="s">
        <v>18</v>
      </c>
      <c r="BB1" s="1" t="s">
        <v>18</v>
      </c>
      <c r="BC1" s="1" t="s">
        <v>18</v>
      </c>
      <c r="BD1" s="2" t="s">
        <v>19</v>
      </c>
      <c r="BE1" s="2" t="s">
        <v>19</v>
      </c>
      <c r="BF1" s="2" t="s">
        <v>19</v>
      </c>
    </row>
    <row r="2" spans="1:62" x14ac:dyDescent="0.25">
      <c r="A2" s="1"/>
      <c r="B2" s="1" t="s">
        <v>20</v>
      </c>
      <c r="C2" s="2" t="s">
        <v>21</v>
      </c>
      <c r="D2" s="2" t="s">
        <v>22</v>
      </c>
      <c r="E2" s="1" t="s">
        <v>23</v>
      </c>
      <c r="F2" s="3" t="s">
        <v>21</v>
      </c>
      <c r="G2" s="1" t="s">
        <v>22</v>
      </c>
      <c r="H2" s="2" t="s">
        <v>23</v>
      </c>
      <c r="I2" s="2" t="s">
        <v>21</v>
      </c>
      <c r="J2" s="2" t="s">
        <v>22</v>
      </c>
      <c r="K2" s="1" t="s">
        <v>23</v>
      </c>
      <c r="L2" s="1" t="s">
        <v>21</v>
      </c>
      <c r="M2" s="1" t="s">
        <v>22</v>
      </c>
      <c r="N2" s="4" t="s">
        <v>23</v>
      </c>
      <c r="O2" s="4" t="s">
        <v>21</v>
      </c>
      <c r="P2" s="4" t="s">
        <v>22</v>
      </c>
      <c r="Q2" s="1" t="s">
        <v>23</v>
      </c>
      <c r="R2" s="1" t="s">
        <v>21</v>
      </c>
      <c r="S2" s="1" t="s">
        <v>22</v>
      </c>
      <c r="T2" s="2" t="s">
        <v>23</v>
      </c>
      <c r="U2" s="2" t="s">
        <v>21</v>
      </c>
      <c r="V2" s="2" t="s">
        <v>22</v>
      </c>
      <c r="W2" s="3" t="s">
        <v>23</v>
      </c>
      <c r="X2" s="3" t="s">
        <v>21</v>
      </c>
      <c r="Y2" s="3" t="s">
        <v>22</v>
      </c>
      <c r="Z2" s="2" t="s">
        <v>23</v>
      </c>
      <c r="AA2" s="2" t="s">
        <v>21</v>
      </c>
      <c r="AB2" s="2" t="s">
        <v>22</v>
      </c>
      <c r="AC2" s="1" t="s">
        <v>23</v>
      </c>
      <c r="AD2" s="1" t="s">
        <v>21</v>
      </c>
      <c r="AE2" s="1" t="s">
        <v>22</v>
      </c>
      <c r="AF2" s="2" t="s">
        <v>23</v>
      </c>
      <c r="AG2" s="2" t="s">
        <v>21</v>
      </c>
      <c r="AH2" s="2" t="s">
        <v>22</v>
      </c>
      <c r="AI2" s="4" t="s">
        <v>23</v>
      </c>
      <c r="AJ2" s="4" t="s">
        <v>21</v>
      </c>
      <c r="AK2" s="4" t="s">
        <v>22</v>
      </c>
      <c r="AL2" s="2" t="s">
        <v>23</v>
      </c>
      <c r="AM2" s="2" t="s">
        <v>21</v>
      </c>
      <c r="AN2" s="2" t="s">
        <v>22</v>
      </c>
      <c r="AO2" s="1" t="s">
        <v>23</v>
      </c>
      <c r="AP2" s="1" t="s">
        <v>21</v>
      </c>
      <c r="AQ2" s="1" t="s">
        <v>22</v>
      </c>
      <c r="AR2" s="2" t="s">
        <v>23</v>
      </c>
      <c r="AS2" s="2" t="s">
        <v>21</v>
      </c>
      <c r="AT2" s="2" t="s">
        <v>22</v>
      </c>
      <c r="AU2" s="1" t="s">
        <v>23</v>
      </c>
      <c r="AV2" s="1" t="s">
        <v>21</v>
      </c>
      <c r="AW2" s="1" t="s">
        <v>22</v>
      </c>
      <c r="AX2" s="2" t="s">
        <v>23</v>
      </c>
      <c r="AY2" s="2" t="s">
        <v>21</v>
      </c>
      <c r="AZ2" s="2" t="s">
        <v>22</v>
      </c>
      <c r="BA2" s="1" t="s">
        <v>23</v>
      </c>
      <c r="BB2" s="1" t="s">
        <v>21</v>
      </c>
      <c r="BC2" s="1" t="s">
        <v>22</v>
      </c>
      <c r="BD2" s="2" t="s">
        <v>23</v>
      </c>
      <c r="BE2" s="2" t="s">
        <v>21</v>
      </c>
      <c r="BF2" s="2" t="s">
        <v>22</v>
      </c>
    </row>
    <row r="3" spans="1:62" x14ac:dyDescent="0.25">
      <c r="A3" s="1"/>
      <c r="B3" s="1" t="s">
        <v>24</v>
      </c>
      <c r="C3" s="2" t="s">
        <v>25</v>
      </c>
      <c r="D3" s="2" t="s">
        <v>26</v>
      </c>
      <c r="E3" s="1" t="s">
        <v>27</v>
      </c>
      <c r="F3" s="3" t="s">
        <v>28</v>
      </c>
      <c r="G3" s="1" t="s">
        <v>29</v>
      </c>
      <c r="H3" s="2" t="s">
        <v>30</v>
      </c>
      <c r="I3" s="2" t="s">
        <v>31</v>
      </c>
      <c r="J3" s="2" t="s">
        <v>32</v>
      </c>
      <c r="K3" s="1" t="s">
        <v>33</v>
      </c>
      <c r="L3" s="1" t="s">
        <v>34</v>
      </c>
      <c r="M3" s="1" t="s">
        <v>35</v>
      </c>
      <c r="N3" s="4" t="s">
        <v>36</v>
      </c>
      <c r="O3" s="4" t="s">
        <v>37</v>
      </c>
      <c r="P3" s="4" t="s">
        <v>38</v>
      </c>
      <c r="Q3" s="1" t="s">
        <v>39</v>
      </c>
      <c r="R3" s="1" t="s">
        <v>40</v>
      </c>
      <c r="S3" s="1" t="s">
        <v>41</v>
      </c>
      <c r="T3" s="2" t="s">
        <v>42</v>
      </c>
      <c r="U3" s="2" t="s">
        <v>43</v>
      </c>
      <c r="V3" s="2" t="s">
        <v>44</v>
      </c>
      <c r="W3" s="3" t="s">
        <v>45</v>
      </c>
      <c r="X3" s="3" t="s">
        <v>46</v>
      </c>
      <c r="Y3" s="3" t="s">
        <v>47</v>
      </c>
      <c r="Z3" s="2" t="s">
        <v>48</v>
      </c>
      <c r="AA3" s="2" t="s">
        <v>49</v>
      </c>
      <c r="AB3" s="2" t="s">
        <v>50</v>
      </c>
      <c r="AC3" s="1" t="s">
        <v>51</v>
      </c>
      <c r="AD3" s="1" t="s">
        <v>52</v>
      </c>
      <c r="AE3" s="1" t="s">
        <v>53</v>
      </c>
      <c r="AF3" s="2" t="s">
        <v>54</v>
      </c>
      <c r="AG3" s="2" t="s">
        <v>55</v>
      </c>
      <c r="AH3" s="2" t="s">
        <v>56</v>
      </c>
      <c r="AI3" s="4" t="s">
        <v>57</v>
      </c>
      <c r="AJ3" s="4" t="s">
        <v>58</v>
      </c>
      <c r="AK3" s="4" t="s">
        <v>59</v>
      </c>
      <c r="AL3" s="2" t="s">
        <v>60</v>
      </c>
      <c r="AM3" s="2" t="s">
        <v>61</v>
      </c>
      <c r="AN3" s="2" t="s">
        <v>62</v>
      </c>
      <c r="AO3" s="1" t="s">
        <v>63</v>
      </c>
      <c r="AP3" s="1" t="s">
        <v>64</v>
      </c>
      <c r="AQ3" s="1" t="s">
        <v>65</v>
      </c>
      <c r="AR3" s="2" t="s">
        <v>66</v>
      </c>
      <c r="AS3" s="2" t="s">
        <v>67</v>
      </c>
      <c r="AT3" s="2" t="s">
        <v>68</v>
      </c>
      <c r="AU3" s="1" t="s">
        <v>69</v>
      </c>
      <c r="AV3" s="1" t="s">
        <v>70</v>
      </c>
      <c r="AW3" s="1" t="s">
        <v>71</v>
      </c>
      <c r="AX3" s="2" t="s">
        <v>72</v>
      </c>
      <c r="AY3" s="2" t="s">
        <v>73</v>
      </c>
      <c r="AZ3" s="2" t="s">
        <v>74</v>
      </c>
      <c r="BA3" s="1" t="s">
        <v>75</v>
      </c>
      <c r="BB3" s="1" t="s">
        <v>76</v>
      </c>
      <c r="BC3" s="1" t="s">
        <v>77</v>
      </c>
      <c r="BD3" s="2" t="s">
        <v>78</v>
      </c>
      <c r="BE3" s="2" t="s">
        <v>79</v>
      </c>
      <c r="BF3" s="2" t="s">
        <v>80</v>
      </c>
    </row>
    <row r="4" spans="1:62" x14ac:dyDescent="0.25">
      <c r="A4" s="5" t="s">
        <v>81</v>
      </c>
      <c r="B4" s="5" t="s">
        <v>82</v>
      </c>
      <c r="C4" s="6"/>
      <c r="D4" s="6"/>
      <c r="E4" s="7"/>
      <c r="F4" s="8"/>
      <c r="G4" s="7"/>
      <c r="H4" s="6"/>
      <c r="I4" s="6"/>
      <c r="J4" s="6"/>
      <c r="K4" s="7"/>
      <c r="L4" s="7"/>
      <c r="M4" s="7"/>
      <c r="N4" s="9"/>
      <c r="O4" s="9"/>
      <c r="P4" s="9"/>
      <c r="Q4" s="7"/>
      <c r="R4" s="7"/>
      <c r="S4" s="7"/>
      <c r="T4" s="6"/>
      <c r="U4" s="6"/>
      <c r="V4" s="6"/>
      <c r="W4" s="8"/>
      <c r="X4" s="8"/>
      <c r="Y4" s="8"/>
      <c r="Z4" s="6"/>
      <c r="AA4" s="6"/>
      <c r="AB4" s="6"/>
      <c r="AC4" s="7"/>
      <c r="AD4" s="7"/>
      <c r="AE4" s="7"/>
      <c r="AF4" s="6"/>
      <c r="AG4" s="6"/>
      <c r="AH4" s="6"/>
      <c r="AI4" s="9"/>
      <c r="AJ4" s="9"/>
      <c r="AK4" s="9"/>
      <c r="AL4" s="6"/>
      <c r="AM4" s="6"/>
      <c r="AN4" s="6"/>
      <c r="AO4" s="7"/>
      <c r="AP4" s="7"/>
      <c r="AQ4" s="7"/>
      <c r="AR4" s="6"/>
      <c r="AS4" s="6"/>
      <c r="AT4" s="6"/>
      <c r="AU4" s="7"/>
      <c r="AV4" s="7"/>
      <c r="AW4" s="7"/>
      <c r="AX4" s="6"/>
      <c r="AY4" s="6"/>
      <c r="AZ4" s="6"/>
      <c r="BA4" s="7"/>
      <c r="BB4" s="7"/>
      <c r="BC4" s="7"/>
      <c r="BD4" s="6"/>
      <c r="BE4" s="6"/>
      <c r="BF4" s="6"/>
      <c r="BG4" s="10" t="s">
        <v>83</v>
      </c>
      <c r="BH4" s="10" t="s">
        <v>84</v>
      </c>
      <c r="BI4" s="10" t="s">
        <v>85</v>
      </c>
      <c r="BJ4" s="10" t="s">
        <v>86</v>
      </c>
    </row>
    <row r="5" spans="1:62" x14ac:dyDescent="0.25">
      <c r="A5" s="11" t="s">
        <v>87</v>
      </c>
      <c r="B5" s="11" t="s">
        <v>88</v>
      </c>
      <c r="C5" s="12">
        <v>3</v>
      </c>
      <c r="D5" s="12"/>
      <c r="E5" s="13"/>
      <c r="F5" s="14"/>
      <c r="G5" s="13"/>
      <c r="H5" s="12"/>
      <c r="I5" s="12">
        <v>3</v>
      </c>
      <c r="J5" s="12"/>
      <c r="K5" s="13"/>
      <c r="L5" s="13">
        <v>3</v>
      </c>
      <c r="M5" s="13"/>
      <c r="N5" s="15"/>
      <c r="O5" s="15">
        <v>3</v>
      </c>
      <c r="P5" s="15"/>
      <c r="Q5" s="13"/>
      <c r="R5" s="13">
        <v>3</v>
      </c>
      <c r="S5" s="13"/>
      <c r="T5" s="12"/>
      <c r="U5" s="12">
        <v>3</v>
      </c>
      <c r="V5" s="12"/>
      <c r="W5" s="14"/>
      <c r="X5" s="14"/>
      <c r="Y5" s="14"/>
      <c r="Z5" s="12"/>
      <c r="AA5" s="12">
        <v>3</v>
      </c>
      <c r="AB5" s="12"/>
      <c r="AC5" s="13"/>
      <c r="AD5" s="13">
        <v>3</v>
      </c>
      <c r="AE5" s="13"/>
      <c r="AF5" s="12"/>
      <c r="AG5" s="12">
        <v>3</v>
      </c>
      <c r="AH5" s="12"/>
      <c r="AI5" s="15"/>
      <c r="AJ5" s="15">
        <v>3</v>
      </c>
      <c r="AK5" s="15"/>
      <c r="AL5" s="12"/>
      <c r="AM5" s="12">
        <v>3</v>
      </c>
      <c r="AN5" s="12"/>
      <c r="AO5" s="13"/>
      <c r="AP5" s="13">
        <v>3</v>
      </c>
      <c r="AQ5" s="13"/>
      <c r="AR5" s="12"/>
      <c r="AS5" s="12"/>
      <c r="AT5" s="12"/>
      <c r="AU5" s="13"/>
      <c r="AV5" s="13"/>
      <c r="AW5" s="13"/>
      <c r="AX5" s="12"/>
      <c r="AY5" s="12"/>
      <c r="AZ5" s="12"/>
      <c r="BA5" s="13"/>
      <c r="BB5" s="13"/>
      <c r="BC5" s="13"/>
      <c r="BD5" s="12"/>
      <c r="BE5" s="12"/>
      <c r="BF5" s="12"/>
      <c r="BG5" s="16">
        <f t="shared" ref="BG5:BG14" si="0">SUM(C5:BF5)</f>
        <v>36</v>
      </c>
      <c r="BH5" s="16">
        <v>36</v>
      </c>
      <c r="BI5" s="16">
        <f t="shared" ref="BI5:BI14" si="1">BG5-BH5</f>
        <v>0</v>
      </c>
      <c r="BJ5" s="17" t="str">
        <f t="shared" ref="BJ5:BJ14" si="2">IF(BI5&lt;-0.1,"Incompleta",IF(BI5&gt;0.1,"Excede","Completa"))</f>
        <v>Completa</v>
      </c>
    </row>
    <row r="6" spans="1:62" x14ac:dyDescent="0.25">
      <c r="A6" s="11" t="s">
        <v>87</v>
      </c>
      <c r="B6" s="11" t="s">
        <v>89</v>
      </c>
      <c r="C6" s="12">
        <v>3</v>
      </c>
      <c r="D6" s="12"/>
      <c r="E6" s="13"/>
      <c r="F6" s="14"/>
      <c r="G6" s="13"/>
      <c r="H6" s="12"/>
      <c r="I6" s="12">
        <v>3</v>
      </c>
      <c r="J6" s="12"/>
      <c r="K6" s="13"/>
      <c r="L6" s="13">
        <v>3</v>
      </c>
      <c r="M6" s="13"/>
      <c r="N6" s="15"/>
      <c r="O6" s="15">
        <v>3</v>
      </c>
      <c r="P6" s="15"/>
      <c r="Q6" s="13"/>
      <c r="R6" s="13">
        <v>3</v>
      </c>
      <c r="S6" s="13"/>
      <c r="T6" s="12"/>
      <c r="U6" s="12">
        <v>3</v>
      </c>
      <c r="V6" s="12"/>
      <c r="W6" s="14"/>
      <c r="X6" s="14"/>
      <c r="Y6" s="14"/>
      <c r="Z6" s="12"/>
      <c r="AA6" s="12">
        <v>3</v>
      </c>
      <c r="AB6" s="12"/>
      <c r="AC6" s="13"/>
      <c r="AD6" s="13">
        <v>3</v>
      </c>
      <c r="AE6" s="13"/>
      <c r="AF6" s="12"/>
      <c r="AG6" s="12">
        <v>3</v>
      </c>
      <c r="AH6" s="12"/>
      <c r="AI6" s="15"/>
      <c r="AJ6" s="15">
        <v>3</v>
      </c>
      <c r="AK6" s="15"/>
      <c r="AL6" s="12"/>
      <c r="AM6" s="12">
        <v>3</v>
      </c>
      <c r="AN6" s="12"/>
      <c r="AO6" s="13"/>
      <c r="AP6" s="13">
        <v>3</v>
      </c>
      <c r="AQ6" s="13"/>
      <c r="AR6" s="12"/>
      <c r="AS6" s="12">
        <v>3</v>
      </c>
      <c r="AT6" s="12"/>
      <c r="AU6" s="13"/>
      <c r="AV6" s="13">
        <v>3</v>
      </c>
      <c r="AW6" s="13"/>
      <c r="AX6" s="12"/>
      <c r="AY6" s="12">
        <v>3</v>
      </c>
      <c r="AZ6" s="12"/>
      <c r="BA6" s="13"/>
      <c r="BB6" s="13">
        <v>3</v>
      </c>
      <c r="BC6" s="13"/>
      <c r="BD6" s="12"/>
      <c r="BE6" s="12"/>
      <c r="BF6" s="12"/>
      <c r="BG6" s="16">
        <f t="shared" si="0"/>
        <v>48</v>
      </c>
      <c r="BH6" s="16">
        <v>48</v>
      </c>
      <c r="BI6" s="16">
        <f t="shared" si="1"/>
        <v>0</v>
      </c>
      <c r="BJ6" s="17" t="str">
        <f t="shared" si="2"/>
        <v>Completa</v>
      </c>
    </row>
    <row r="7" spans="1:62" x14ac:dyDescent="0.25">
      <c r="A7" s="11" t="s">
        <v>90</v>
      </c>
      <c r="B7" s="11" t="s">
        <v>91</v>
      </c>
      <c r="C7" s="12"/>
      <c r="D7" s="12"/>
      <c r="E7" s="13"/>
      <c r="F7" s="14"/>
      <c r="G7" s="13">
        <v>4</v>
      </c>
      <c r="H7" s="12"/>
      <c r="I7" s="12"/>
      <c r="J7" s="12">
        <v>4</v>
      </c>
      <c r="K7" s="13"/>
      <c r="L7" s="13"/>
      <c r="M7" s="13">
        <v>4</v>
      </c>
      <c r="N7" s="15"/>
      <c r="O7" s="15"/>
      <c r="P7" s="15">
        <v>4</v>
      </c>
      <c r="Q7" s="13"/>
      <c r="R7" s="13"/>
      <c r="S7" s="13">
        <v>4</v>
      </c>
      <c r="T7" s="12"/>
      <c r="U7" s="12"/>
      <c r="V7" s="12">
        <v>4</v>
      </c>
      <c r="W7" s="14"/>
      <c r="X7" s="14"/>
      <c r="Y7" s="14"/>
      <c r="Z7" s="12"/>
      <c r="AA7" s="12"/>
      <c r="AB7" s="12">
        <v>4</v>
      </c>
      <c r="AC7" s="13"/>
      <c r="AD7" s="13"/>
      <c r="AE7" s="13">
        <v>4</v>
      </c>
      <c r="AF7" s="12"/>
      <c r="AG7" s="12"/>
      <c r="AH7" s="12">
        <v>4</v>
      </c>
      <c r="AI7" s="15"/>
      <c r="AJ7" s="15"/>
      <c r="AK7" s="15">
        <v>4</v>
      </c>
      <c r="AL7" s="12"/>
      <c r="AM7" s="12"/>
      <c r="AN7" s="12">
        <v>4</v>
      </c>
      <c r="AO7" s="13"/>
      <c r="AP7" s="13"/>
      <c r="AQ7" s="13">
        <v>4</v>
      </c>
      <c r="AR7" s="12"/>
      <c r="AS7" s="12"/>
      <c r="AT7" s="12"/>
      <c r="AU7" s="13"/>
      <c r="AV7" s="13"/>
      <c r="AW7" s="13"/>
      <c r="AX7" s="12"/>
      <c r="AY7" s="12"/>
      <c r="AZ7" s="12"/>
      <c r="BA7" s="13"/>
      <c r="BB7" s="13"/>
      <c r="BC7" s="13"/>
      <c r="BD7" s="12"/>
      <c r="BE7" s="12"/>
      <c r="BF7" s="12"/>
      <c r="BG7" s="16">
        <f t="shared" si="0"/>
        <v>48</v>
      </c>
      <c r="BH7" s="16">
        <v>48</v>
      </c>
      <c r="BI7" s="16">
        <f t="shared" si="1"/>
        <v>0</v>
      </c>
      <c r="BJ7" s="17" t="str">
        <f t="shared" si="2"/>
        <v>Completa</v>
      </c>
    </row>
    <row r="8" spans="1:62" x14ac:dyDescent="0.25">
      <c r="A8" s="11" t="s">
        <v>90</v>
      </c>
      <c r="B8" s="11" t="s">
        <v>92</v>
      </c>
      <c r="C8" s="12">
        <v>2</v>
      </c>
      <c r="D8" s="12">
        <v>3</v>
      </c>
      <c r="E8" s="13"/>
      <c r="F8" s="14"/>
      <c r="G8" s="13">
        <v>3</v>
      </c>
      <c r="H8" s="12"/>
      <c r="I8" s="12"/>
      <c r="J8" s="12">
        <v>3</v>
      </c>
      <c r="K8" s="13"/>
      <c r="L8" s="13"/>
      <c r="M8" s="13">
        <v>3</v>
      </c>
      <c r="N8" s="15"/>
      <c r="O8" s="15">
        <v>2</v>
      </c>
      <c r="P8" s="15"/>
      <c r="Q8" s="13"/>
      <c r="R8" s="13">
        <v>2</v>
      </c>
      <c r="S8" s="13"/>
      <c r="T8" s="12"/>
      <c r="U8" s="12">
        <v>2</v>
      </c>
      <c r="V8" s="12"/>
      <c r="W8" s="14"/>
      <c r="X8" s="14"/>
      <c r="Y8" s="14"/>
      <c r="Z8" s="12"/>
      <c r="AA8" s="12">
        <v>2</v>
      </c>
      <c r="AB8" s="12"/>
      <c r="AC8" s="13"/>
      <c r="AD8" s="13">
        <v>2</v>
      </c>
      <c r="AE8" s="13"/>
      <c r="AF8" s="12"/>
      <c r="AG8" s="12">
        <v>2</v>
      </c>
      <c r="AH8" s="12"/>
      <c r="AI8" s="15"/>
      <c r="AJ8" s="15">
        <v>2</v>
      </c>
      <c r="AK8" s="15"/>
      <c r="AL8" s="12"/>
      <c r="AM8" s="12">
        <v>2</v>
      </c>
      <c r="AN8" s="12"/>
      <c r="AO8" s="13"/>
      <c r="AP8" s="13">
        <v>2</v>
      </c>
      <c r="AQ8" s="13"/>
      <c r="AR8" s="12"/>
      <c r="AS8" s="12">
        <v>2</v>
      </c>
      <c r="AT8" s="12"/>
      <c r="AU8" s="13"/>
      <c r="AV8" s="13">
        <v>2</v>
      </c>
      <c r="AW8" s="13"/>
      <c r="AX8" s="12"/>
      <c r="AY8" s="12">
        <v>2</v>
      </c>
      <c r="AZ8" s="12"/>
      <c r="BA8" s="13"/>
      <c r="BB8" s="13">
        <v>2</v>
      </c>
      <c r="BC8" s="13">
        <v>3</v>
      </c>
      <c r="BD8" s="12"/>
      <c r="BE8" s="12">
        <v>2</v>
      </c>
      <c r="BF8" s="12">
        <v>3</v>
      </c>
      <c r="BG8" s="16">
        <f t="shared" si="0"/>
        <v>48</v>
      </c>
      <c r="BH8" s="16">
        <v>48</v>
      </c>
      <c r="BI8" s="16">
        <f t="shared" si="1"/>
        <v>0</v>
      </c>
      <c r="BJ8" s="17" t="str">
        <f t="shared" si="2"/>
        <v>Completa</v>
      </c>
    </row>
    <row r="9" spans="1:62" x14ac:dyDescent="0.25">
      <c r="A9" s="11" t="s">
        <v>90</v>
      </c>
      <c r="B9" s="11" t="s">
        <v>93</v>
      </c>
      <c r="C9" s="12">
        <v>2</v>
      </c>
      <c r="D9" s="12">
        <v>3</v>
      </c>
      <c r="E9" s="13"/>
      <c r="F9" s="14"/>
      <c r="G9" s="13"/>
      <c r="H9" s="12"/>
      <c r="I9" s="12">
        <v>4</v>
      </c>
      <c r="J9" s="12"/>
      <c r="K9" s="13"/>
      <c r="L9" s="13">
        <v>4</v>
      </c>
      <c r="M9" s="13"/>
      <c r="N9" s="15"/>
      <c r="O9" s="15">
        <v>2</v>
      </c>
      <c r="P9" s="15"/>
      <c r="Q9" s="13"/>
      <c r="R9" s="13"/>
      <c r="S9" s="13">
        <v>3</v>
      </c>
      <c r="T9" s="12"/>
      <c r="U9" s="12">
        <v>2</v>
      </c>
      <c r="V9" s="12"/>
      <c r="W9" s="14"/>
      <c r="X9" s="14"/>
      <c r="Y9" s="14"/>
      <c r="Z9" s="12"/>
      <c r="AA9" s="12">
        <v>2</v>
      </c>
      <c r="AB9" s="12"/>
      <c r="AC9" s="13"/>
      <c r="AD9" s="13">
        <v>2</v>
      </c>
      <c r="AE9" s="13"/>
      <c r="AF9" s="12"/>
      <c r="AG9" s="12">
        <v>2</v>
      </c>
      <c r="AH9" s="12"/>
      <c r="AI9" s="15"/>
      <c r="AJ9" s="15"/>
      <c r="AK9" s="15">
        <v>3</v>
      </c>
      <c r="AL9" s="12"/>
      <c r="AM9" s="12">
        <v>2</v>
      </c>
      <c r="AN9" s="12"/>
      <c r="AO9" s="13"/>
      <c r="AP9" s="13">
        <v>2</v>
      </c>
      <c r="AQ9" s="13"/>
      <c r="AR9" s="12"/>
      <c r="AS9" s="12"/>
      <c r="AT9" s="12">
        <v>3</v>
      </c>
      <c r="AU9" s="13"/>
      <c r="AV9" s="13"/>
      <c r="AW9" s="13">
        <v>3</v>
      </c>
      <c r="AX9" s="12"/>
      <c r="AY9" s="12"/>
      <c r="AZ9" s="12">
        <v>3</v>
      </c>
      <c r="BA9" s="13"/>
      <c r="BB9" s="13"/>
      <c r="BC9" s="13">
        <v>3</v>
      </c>
      <c r="BD9" s="12"/>
      <c r="BE9" s="12"/>
      <c r="BF9" s="12">
        <v>3</v>
      </c>
      <c r="BG9" s="16">
        <f t="shared" si="0"/>
        <v>48</v>
      </c>
      <c r="BH9" s="16">
        <v>48</v>
      </c>
      <c r="BI9" s="16">
        <f t="shared" si="1"/>
        <v>0</v>
      </c>
      <c r="BJ9" s="17" t="str">
        <f t="shared" si="2"/>
        <v>Completa</v>
      </c>
    </row>
    <row r="10" spans="1:62" x14ac:dyDescent="0.25">
      <c r="A10" s="11" t="s">
        <v>90</v>
      </c>
      <c r="B10" s="11" t="s">
        <v>94</v>
      </c>
      <c r="C10" s="12"/>
      <c r="D10" s="12"/>
      <c r="E10" s="13"/>
      <c r="F10" s="14"/>
      <c r="G10" s="13"/>
      <c r="H10" s="12"/>
      <c r="I10" s="12"/>
      <c r="J10" s="12"/>
      <c r="K10" s="13"/>
      <c r="L10" s="13"/>
      <c r="M10" s="13"/>
      <c r="N10" s="15"/>
      <c r="O10" s="15"/>
      <c r="P10" s="15"/>
      <c r="Q10" s="13"/>
      <c r="R10" s="13">
        <v>2</v>
      </c>
      <c r="S10" s="13"/>
      <c r="T10" s="12"/>
      <c r="U10" s="12"/>
      <c r="V10" s="12">
        <v>3</v>
      </c>
      <c r="W10" s="14"/>
      <c r="X10" s="14"/>
      <c r="Y10" s="14"/>
      <c r="Z10" s="12"/>
      <c r="AA10" s="12"/>
      <c r="AB10" s="12">
        <v>3</v>
      </c>
      <c r="AC10" s="13"/>
      <c r="AD10" s="13"/>
      <c r="AE10" s="13">
        <v>3</v>
      </c>
      <c r="AF10" s="12"/>
      <c r="AG10" s="12"/>
      <c r="AH10" s="12">
        <v>3</v>
      </c>
      <c r="AI10" s="15"/>
      <c r="AJ10" s="15">
        <v>2</v>
      </c>
      <c r="AK10" s="15">
        <v>3</v>
      </c>
      <c r="AL10" s="12"/>
      <c r="AM10" s="12"/>
      <c r="AN10" s="12">
        <v>3</v>
      </c>
      <c r="AO10" s="13"/>
      <c r="AP10" s="13"/>
      <c r="AQ10" s="13">
        <v>3</v>
      </c>
      <c r="AR10" s="12"/>
      <c r="AS10" s="12">
        <v>2</v>
      </c>
      <c r="AT10" s="12">
        <v>3</v>
      </c>
      <c r="AU10" s="13"/>
      <c r="AV10" s="13">
        <v>2</v>
      </c>
      <c r="AW10" s="13">
        <v>3</v>
      </c>
      <c r="AX10" s="12"/>
      <c r="AY10" s="12">
        <v>2</v>
      </c>
      <c r="AZ10" s="12">
        <v>3</v>
      </c>
      <c r="BA10" s="13"/>
      <c r="BB10" s="13">
        <v>2</v>
      </c>
      <c r="BC10" s="13">
        <v>3</v>
      </c>
      <c r="BD10" s="12"/>
      <c r="BE10" s="12">
        <v>3</v>
      </c>
      <c r="BF10" s="12"/>
      <c r="BG10" s="16">
        <f t="shared" si="0"/>
        <v>48</v>
      </c>
      <c r="BH10" s="16">
        <v>48</v>
      </c>
      <c r="BI10" s="16">
        <f t="shared" si="1"/>
        <v>0</v>
      </c>
      <c r="BJ10" s="17" t="str">
        <f t="shared" si="2"/>
        <v>Completa</v>
      </c>
    </row>
    <row r="11" spans="1:62" x14ac:dyDescent="0.25">
      <c r="A11" s="11" t="s">
        <v>95</v>
      </c>
      <c r="B11" s="11" t="s">
        <v>96</v>
      </c>
      <c r="C11" s="12"/>
      <c r="D11" s="12"/>
      <c r="E11" s="13"/>
      <c r="F11" s="14"/>
      <c r="G11" s="13">
        <v>3</v>
      </c>
      <c r="H11" s="12"/>
      <c r="I11" s="12"/>
      <c r="J11" s="12">
        <v>3</v>
      </c>
      <c r="K11" s="13"/>
      <c r="L11" s="13"/>
      <c r="M11" s="13">
        <v>3</v>
      </c>
      <c r="N11" s="15"/>
      <c r="O11" s="15"/>
      <c r="P11" s="15">
        <v>6</v>
      </c>
      <c r="Q11" s="13"/>
      <c r="R11" s="13"/>
      <c r="S11" s="13">
        <v>3</v>
      </c>
      <c r="T11" s="12"/>
      <c r="U11" s="12"/>
      <c r="V11" s="12">
        <v>3</v>
      </c>
      <c r="W11" s="14"/>
      <c r="X11" s="14"/>
      <c r="Y11" s="14"/>
      <c r="Z11" s="12"/>
      <c r="AA11" s="12"/>
      <c r="AB11" s="12">
        <v>3</v>
      </c>
      <c r="AC11" s="13"/>
      <c r="AD11" s="13"/>
      <c r="AE11" s="13">
        <v>3</v>
      </c>
      <c r="AF11" s="12"/>
      <c r="AG11" s="12"/>
      <c r="AH11" s="12">
        <v>3</v>
      </c>
      <c r="AI11" s="15"/>
      <c r="AJ11" s="15"/>
      <c r="AK11" s="15"/>
      <c r="AL11" s="12"/>
      <c r="AM11" s="12"/>
      <c r="AN11" s="12">
        <v>3</v>
      </c>
      <c r="AO11" s="13"/>
      <c r="AP11" s="13"/>
      <c r="AQ11" s="13">
        <v>3</v>
      </c>
      <c r="AR11" s="12"/>
      <c r="AS11" s="12"/>
      <c r="AT11" s="12"/>
      <c r="AU11" s="13"/>
      <c r="AV11" s="13"/>
      <c r="AW11" s="13"/>
      <c r="AX11" s="12"/>
      <c r="AY11" s="12"/>
      <c r="AZ11" s="12"/>
      <c r="BA11" s="13"/>
      <c r="BB11" s="13"/>
      <c r="BC11" s="13"/>
      <c r="BD11" s="12"/>
      <c r="BE11" s="12"/>
      <c r="BF11" s="12"/>
      <c r="BG11" s="16">
        <f t="shared" si="0"/>
        <v>36</v>
      </c>
      <c r="BH11" s="16">
        <v>36</v>
      </c>
      <c r="BI11" s="16">
        <f t="shared" si="1"/>
        <v>0</v>
      </c>
      <c r="BJ11" s="17" t="str">
        <f t="shared" si="2"/>
        <v>Completa</v>
      </c>
    </row>
    <row r="12" spans="1:62" x14ac:dyDescent="0.25">
      <c r="A12" s="11" t="s">
        <v>95</v>
      </c>
      <c r="B12" s="11" t="s">
        <v>97</v>
      </c>
      <c r="C12" s="12"/>
      <c r="D12" s="12"/>
      <c r="E12" s="13"/>
      <c r="F12" s="14"/>
      <c r="G12" s="13">
        <v>3</v>
      </c>
      <c r="H12" s="12"/>
      <c r="I12" s="12"/>
      <c r="J12" s="12">
        <v>3</v>
      </c>
      <c r="K12" s="13"/>
      <c r="L12" s="13"/>
      <c r="M12" s="13">
        <v>3</v>
      </c>
      <c r="N12" s="15"/>
      <c r="O12" s="15"/>
      <c r="P12" s="15">
        <v>6</v>
      </c>
      <c r="Q12" s="13"/>
      <c r="R12" s="13"/>
      <c r="S12" s="13">
        <v>3</v>
      </c>
      <c r="T12" s="12"/>
      <c r="U12" s="12"/>
      <c r="V12" s="12">
        <v>3</v>
      </c>
      <c r="W12" s="14"/>
      <c r="X12" s="14"/>
      <c r="Y12" s="14"/>
      <c r="Z12" s="12"/>
      <c r="AA12" s="12"/>
      <c r="AB12" s="12">
        <v>3</v>
      </c>
      <c r="AC12" s="13"/>
      <c r="AD12" s="13"/>
      <c r="AE12" s="13">
        <v>3</v>
      </c>
      <c r="AF12" s="12"/>
      <c r="AG12" s="12"/>
      <c r="AH12" s="12">
        <v>3</v>
      </c>
      <c r="AI12" s="15"/>
      <c r="AJ12" s="15"/>
      <c r="AK12" s="15"/>
      <c r="AL12" s="12"/>
      <c r="AM12" s="12"/>
      <c r="AN12" s="12">
        <v>3</v>
      </c>
      <c r="AO12" s="13"/>
      <c r="AP12" s="13"/>
      <c r="AQ12" s="13">
        <v>3</v>
      </c>
      <c r="AR12" s="12"/>
      <c r="AS12" s="12"/>
      <c r="AT12" s="12"/>
      <c r="AU12" s="13"/>
      <c r="AV12" s="13"/>
      <c r="AW12" s="13"/>
      <c r="AX12" s="12"/>
      <c r="AY12" s="12"/>
      <c r="AZ12" s="12"/>
      <c r="BA12" s="13"/>
      <c r="BB12" s="13"/>
      <c r="BC12" s="13"/>
      <c r="BD12" s="12"/>
      <c r="BE12" s="12"/>
      <c r="BF12" s="12"/>
      <c r="BG12" s="16">
        <f t="shared" si="0"/>
        <v>36</v>
      </c>
      <c r="BH12" s="16">
        <v>36</v>
      </c>
      <c r="BI12" s="16">
        <f t="shared" si="1"/>
        <v>0</v>
      </c>
      <c r="BJ12" s="17" t="str">
        <f t="shared" si="2"/>
        <v>Completa</v>
      </c>
    </row>
    <row r="13" spans="1:62" x14ac:dyDescent="0.25">
      <c r="A13" s="11" t="s">
        <v>95</v>
      </c>
      <c r="B13" s="11" t="s">
        <v>98</v>
      </c>
      <c r="C13" s="12"/>
      <c r="D13" s="12"/>
      <c r="E13" s="13"/>
      <c r="F13" s="14"/>
      <c r="G13" s="13">
        <v>3</v>
      </c>
      <c r="H13" s="12"/>
      <c r="I13" s="12"/>
      <c r="J13" s="12">
        <v>3</v>
      </c>
      <c r="K13" s="13"/>
      <c r="L13" s="13"/>
      <c r="M13" s="13">
        <v>3</v>
      </c>
      <c r="N13" s="15"/>
      <c r="O13" s="15"/>
      <c r="P13" s="15">
        <v>6</v>
      </c>
      <c r="Q13" s="13"/>
      <c r="R13" s="13"/>
      <c r="S13" s="13">
        <v>3</v>
      </c>
      <c r="T13" s="12"/>
      <c r="U13" s="12"/>
      <c r="V13" s="12">
        <v>3</v>
      </c>
      <c r="W13" s="14"/>
      <c r="X13" s="14"/>
      <c r="Y13" s="14"/>
      <c r="Z13" s="12"/>
      <c r="AA13" s="12"/>
      <c r="AB13" s="12">
        <v>3</v>
      </c>
      <c r="AC13" s="13"/>
      <c r="AD13" s="13"/>
      <c r="AE13" s="13">
        <v>3</v>
      </c>
      <c r="AF13" s="12"/>
      <c r="AG13" s="12"/>
      <c r="AH13" s="12">
        <v>3</v>
      </c>
      <c r="AI13" s="15"/>
      <c r="AJ13" s="15"/>
      <c r="AK13" s="15"/>
      <c r="AL13" s="12"/>
      <c r="AM13" s="12"/>
      <c r="AN13" s="12">
        <v>3</v>
      </c>
      <c r="AO13" s="13"/>
      <c r="AP13" s="13"/>
      <c r="AQ13" s="13">
        <v>3</v>
      </c>
      <c r="AR13" s="12"/>
      <c r="AS13" s="12"/>
      <c r="AT13" s="12"/>
      <c r="AU13" s="13"/>
      <c r="AV13" s="13"/>
      <c r="AW13" s="13"/>
      <c r="AX13" s="12"/>
      <c r="AY13" s="12"/>
      <c r="AZ13" s="12"/>
      <c r="BA13" s="13"/>
      <c r="BB13" s="13"/>
      <c r="BC13" s="13"/>
      <c r="BD13" s="12"/>
      <c r="BE13" s="12"/>
      <c r="BF13" s="12"/>
      <c r="BG13" s="16">
        <f t="shared" si="0"/>
        <v>36</v>
      </c>
      <c r="BH13" s="16">
        <v>36</v>
      </c>
      <c r="BI13" s="16">
        <f t="shared" si="1"/>
        <v>0</v>
      </c>
      <c r="BJ13" s="17" t="str">
        <f t="shared" si="2"/>
        <v>Completa</v>
      </c>
    </row>
    <row r="14" spans="1:62" x14ac:dyDescent="0.25">
      <c r="A14" s="11" t="s">
        <v>99</v>
      </c>
      <c r="B14" s="11" t="s">
        <v>100</v>
      </c>
      <c r="C14" s="12"/>
      <c r="D14" s="12"/>
      <c r="E14" s="13">
        <v>1.5</v>
      </c>
      <c r="F14" s="14"/>
      <c r="G14" s="13"/>
      <c r="H14" s="12">
        <v>1.5</v>
      </c>
      <c r="I14" s="12"/>
      <c r="J14" s="12"/>
      <c r="K14" s="13">
        <v>1.5</v>
      </c>
      <c r="L14" s="13"/>
      <c r="M14" s="13"/>
      <c r="N14" s="15">
        <v>1.5</v>
      </c>
      <c r="O14" s="15"/>
      <c r="P14" s="15"/>
      <c r="Q14" s="13">
        <v>1.5</v>
      </c>
      <c r="R14" s="13"/>
      <c r="S14" s="13"/>
      <c r="T14" s="12">
        <v>1.5</v>
      </c>
      <c r="U14" s="12"/>
      <c r="V14" s="12"/>
      <c r="W14" s="14"/>
      <c r="X14" s="14"/>
      <c r="Y14" s="14"/>
      <c r="Z14" s="12">
        <v>1.5</v>
      </c>
      <c r="AA14" s="12"/>
      <c r="AB14" s="12"/>
      <c r="AC14" s="13">
        <v>1.5</v>
      </c>
      <c r="AD14" s="13"/>
      <c r="AE14" s="13"/>
      <c r="AF14" s="12">
        <v>1.5</v>
      </c>
      <c r="AG14" s="12"/>
      <c r="AH14" s="12"/>
      <c r="AI14" s="15">
        <v>1.5</v>
      </c>
      <c r="AJ14" s="15"/>
      <c r="AK14" s="15"/>
      <c r="AL14" s="12">
        <v>1.5</v>
      </c>
      <c r="AM14" s="12"/>
      <c r="AN14" s="12"/>
      <c r="AO14" s="13">
        <v>1.5</v>
      </c>
      <c r="AP14" s="13"/>
      <c r="AQ14" s="13"/>
      <c r="AR14" s="12">
        <v>1.5</v>
      </c>
      <c r="AS14" s="12"/>
      <c r="AT14" s="12"/>
      <c r="AU14" s="13"/>
      <c r="AV14" s="13"/>
      <c r="AW14" s="13"/>
      <c r="AX14" s="12"/>
      <c r="AY14" s="12"/>
      <c r="AZ14" s="12"/>
      <c r="BA14" s="13"/>
      <c r="BB14" s="13"/>
      <c r="BC14" s="13"/>
      <c r="BD14" s="12"/>
      <c r="BE14" s="12"/>
      <c r="BF14" s="12"/>
      <c r="BG14" s="16">
        <f t="shared" si="0"/>
        <v>19.5</v>
      </c>
      <c r="BH14" s="16">
        <v>20</v>
      </c>
      <c r="BI14" s="16">
        <f t="shared" si="1"/>
        <v>-0.5</v>
      </c>
      <c r="BJ14" s="18" t="str">
        <f t="shared" si="2"/>
        <v>Incompleta</v>
      </c>
    </row>
    <row r="16" spans="1:62" x14ac:dyDescent="0.25">
      <c r="A16" s="10"/>
      <c r="B16" s="10" t="s">
        <v>101</v>
      </c>
      <c r="C16" s="19">
        <f>MAX(C5:C6)+MAX(C11:C13)+C7+C8+C9+C10+C14</f>
        <v>7</v>
      </c>
      <c r="D16" s="19">
        <f>MAX(D5:D6)+MAX(D11:D13)+D7+D8+D9+D10+D14</f>
        <v>6</v>
      </c>
      <c r="E16" s="1">
        <f>MAX(E5:E6)+MAX(E11:E13)+E7+E8+E9+E10+E14</f>
        <v>1.5</v>
      </c>
      <c r="F16" s="3"/>
      <c r="G16" s="19">
        <f t="shared" ref="G16:V16" si="3">MAX(G5:G6)+MAX(G11:G13)+G7+G8+G9+G10+G14</f>
        <v>10</v>
      </c>
      <c r="H16" s="2">
        <f t="shared" si="3"/>
        <v>1.5</v>
      </c>
      <c r="I16" s="19">
        <f t="shared" si="3"/>
        <v>7</v>
      </c>
      <c r="J16" s="19">
        <f t="shared" si="3"/>
        <v>10</v>
      </c>
      <c r="K16" s="1">
        <f t="shared" si="3"/>
        <v>1.5</v>
      </c>
      <c r="L16" s="19">
        <f t="shared" si="3"/>
        <v>7</v>
      </c>
      <c r="M16" s="19">
        <f t="shared" si="3"/>
        <v>10</v>
      </c>
      <c r="N16" s="4">
        <f t="shared" si="3"/>
        <v>1.5</v>
      </c>
      <c r="O16" s="19">
        <f t="shared" si="3"/>
        <v>7</v>
      </c>
      <c r="P16" s="19">
        <f t="shared" si="3"/>
        <v>10</v>
      </c>
      <c r="Q16" s="1">
        <f t="shared" si="3"/>
        <v>1.5</v>
      </c>
      <c r="R16" s="19">
        <f t="shared" si="3"/>
        <v>7</v>
      </c>
      <c r="S16" s="19">
        <f t="shared" si="3"/>
        <v>10</v>
      </c>
      <c r="T16" s="2">
        <f t="shared" si="3"/>
        <v>1.5</v>
      </c>
      <c r="U16" s="19">
        <f t="shared" si="3"/>
        <v>7</v>
      </c>
      <c r="V16" s="19">
        <f t="shared" si="3"/>
        <v>10</v>
      </c>
      <c r="W16" s="3"/>
      <c r="X16" s="3"/>
      <c r="Y16" s="3"/>
      <c r="Z16" s="2">
        <f t="shared" ref="Z16:BF16" si="4">MAX(Z5:Z6)+MAX(Z11:Z13)+Z7+Z8+Z9+Z10+Z14</f>
        <v>1.5</v>
      </c>
      <c r="AA16" s="19">
        <f t="shared" si="4"/>
        <v>7</v>
      </c>
      <c r="AB16" s="19">
        <f t="shared" si="4"/>
        <v>10</v>
      </c>
      <c r="AC16" s="1">
        <f t="shared" si="4"/>
        <v>1.5</v>
      </c>
      <c r="AD16" s="19">
        <f t="shared" si="4"/>
        <v>7</v>
      </c>
      <c r="AE16" s="19">
        <f t="shared" si="4"/>
        <v>10</v>
      </c>
      <c r="AF16" s="2">
        <f t="shared" si="4"/>
        <v>1.5</v>
      </c>
      <c r="AG16" s="19">
        <f t="shared" si="4"/>
        <v>7</v>
      </c>
      <c r="AH16" s="19">
        <f t="shared" si="4"/>
        <v>10</v>
      </c>
      <c r="AI16" s="4">
        <f t="shared" si="4"/>
        <v>1.5</v>
      </c>
      <c r="AJ16" s="19">
        <f t="shared" si="4"/>
        <v>7</v>
      </c>
      <c r="AK16" s="19">
        <f t="shared" si="4"/>
        <v>10</v>
      </c>
      <c r="AL16" s="2">
        <f t="shared" si="4"/>
        <v>1.5</v>
      </c>
      <c r="AM16" s="19">
        <f t="shared" si="4"/>
        <v>7</v>
      </c>
      <c r="AN16" s="19">
        <f t="shared" si="4"/>
        <v>10</v>
      </c>
      <c r="AO16" s="1">
        <f t="shared" si="4"/>
        <v>1.5</v>
      </c>
      <c r="AP16" s="19">
        <f t="shared" si="4"/>
        <v>7</v>
      </c>
      <c r="AQ16" s="19">
        <f t="shared" si="4"/>
        <v>10</v>
      </c>
      <c r="AR16" s="2">
        <f t="shared" si="4"/>
        <v>1.5</v>
      </c>
      <c r="AS16" s="19">
        <f t="shared" si="4"/>
        <v>7</v>
      </c>
      <c r="AT16" s="19">
        <f t="shared" si="4"/>
        <v>6</v>
      </c>
      <c r="AU16" s="1">
        <f t="shared" si="4"/>
        <v>0</v>
      </c>
      <c r="AV16" s="19">
        <f t="shared" si="4"/>
        <v>7</v>
      </c>
      <c r="AW16" s="19">
        <f t="shared" si="4"/>
        <v>6</v>
      </c>
      <c r="AX16" s="2">
        <f t="shared" si="4"/>
        <v>0</v>
      </c>
      <c r="AY16" s="19">
        <f t="shared" si="4"/>
        <v>7</v>
      </c>
      <c r="AZ16" s="19">
        <f t="shared" si="4"/>
        <v>6</v>
      </c>
      <c r="BA16" s="1">
        <f t="shared" si="4"/>
        <v>0</v>
      </c>
      <c r="BB16" s="19">
        <f t="shared" si="4"/>
        <v>7</v>
      </c>
      <c r="BC16" s="19">
        <f t="shared" si="4"/>
        <v>9</v>
      </c>
      <c r="BD16" s="2">
        <f t="shared" si="4"/>
        <v>0</v>
      </c>
      <c r="BE16" s="19">
        <f t="shared" si="4"/>
        <v>5</v>
      </c>
      <c r="BF16" s="19">
        <f t="shared" si="4"/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Luisa Fernanda Rincon Perez</cp:lastModifiedBy>
  <dcterms:created xsi:type="dcterms:W3CDTF">2026-04-17T01:06:39Z</dcterms:created>
  <dcterms:modified xsi:type="dcterms:W3CDTF">2026-04-17T17:39:07Z</dcterms:modified>
</cp:coreProperties>
</file>